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iotwatt-my.sharepoint.com/personal/ts2104_hw_ac_uk/Documents/Github/System-Project-G2/documentation/calibration/"/>
    </mc:Choice>
  </mc:AlternateContent>
  <xr:revisionPtr revIDLastSave="117" documentId="8_{BE8412CD-7915-4FAA-8293-D30577E33BB5}" xr6:coauthVersionLast="47" xr6:coauthVersionMax="47" xr10:uidLastSave="{3A991B56-0AFD-47F7-8E7B-C6459017C959}"/>
  <bookViews>
    <workbookView xWindow="735" yWindow="735" windowWidth="20602" windowHeight="12097" activeTab="1" xr2:uid="{A5972991-0E36-4B95-B7E7-E22FB6D328CD}"/>
  </bookViews>
  <sheets>
    <sheet name="Motors" sheetId="1" r:id="rId1"/>
    <sheet name="Ultrason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0" i="1"/>
  <c r="G7" i="1"/>
  <c r="G6" i="1"/>
  <c r="F10" i="1"/>
  <c r="F6" i="1"/>
  <c r="F3" i="1"/>
  <c r="G3" i="1" s="1"/>
  <c r="F7" i="1"/>
  <c r="F11" i="1"/>
  <c r="F2" i="1"/>
  <c r="G2" i="1" s="1"/>
</calcChain>
</file>

<file path=xl/sharedStrings.xml><?xml version="1.0" encoding="utf-8"?>
<sst xmlns="http://schemas.openxmlformats.org/spreadsheetml/2006/main" count="33" uniqueCount="23">
  <si>
    <t>Min Blinks</t>
  </si>
  <si>
    <t>Max Blinks</t>
  </si>
  <si>
    <t>Total</t>
  </si>
  <si>
    <t>Init left spd</t>
  </si>
  <si>
    <t>Percent</t>
  </si>
  <si>
    <t>Testing straight</t>
  </si>
  <si>
    <t>First two sec</t>
  </si>
  <si>
    <t>After</t>
  </si>
  <si>
    <t>right</t>
  </si>
  <si>
    <t>straight</t>
  </si>
  <si>
    <t>126 vs 100</t>
  </si>
  <si>
    <t>190 vs 150</t>
  </si>
  <si>
    <t>233 vs 200</t>
  </si>
  <si>
    <t xml:space="preserve">slight right </t>
  </si>
  <si>
    <t>slight left</t>
  </si>
  <si>
    <t>Battery at 3 bars</t>
  </si>
  <si>
    <t>US Length</t>
  </si>
  <si>
    <t>Length</t>
  </si>
  <si>
    <t>(cm)</t>
  </si>
  <si>
    <t>not reliable</t>
  </si>
  <si>
    <t>phone</t>
  </si>
  <si>
    <t>metal</t>
  </si>
  <si>
    <t>big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</si>
</sst>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4E034-60F0-49C7-BDFF-4FB4C9FE4E96}">
  <dimension ref="A1:K11"/>
  <sheetViews>
    <sheetView workbookViewId="0">
      <selection activeCell="K18" sqref="K18"/>
    </sheetView>
  </sheetViews>
  <sheetFormatPr defaultRowHeight="14.25" x14ac:dyDescent="0.45"/>
  <cols>
    <col min="9" max="10" width="12.59765625" bestFit="1" customWidth="1"/>
  </cols>
  <sheetData>
    <row r="1" spans="1:11" x14ac:dyDescent="0.45">
      <c r="A1">
        <v>100</v>
      </c>
      <c r="B1">
        <v>1</v>
      </c>
      <c r="C1">
        <v>2</v>
      </c>
      <c r="D1">
        <v>3</v>
      </c>
      <c r="E1" t="s">
        <v>3</v>
      </c>
      <c r="F1" t="s">
        <v>2</v>
      </c>
      <c r="J1" t="s">
        <v>5</v>
      </c>
    </row>
    <row r="2" spans="1:11" x14ac:dyDescent="0.45">
      <c r="A2" t="s">
        <v>0</v>
      </c>
      <c r="B2">
        <v>8</v>
      </c>
      <c r="C2">
        <v>10</v>
      </c>
      <c r="D2">
        <v>10</v>
      </c>
      <c r="E2">
        <v>80</v>
      </c>
      <c r="F2">
        <f>E2+SUM(B2:D2)/3*5</f>
        <v>126.66666666666667</v>
      </c>
      <c r="G2" s="1">
        <f>F2/$A$1</f>
        <v>1.2666666666666666</v>
      </c>
      <c r="J2" t="s">
        <v>6</v>
      </c>
      <c r="K2" t="s">
        <v>7</v>
      </c>
    </row>
    <row r="3" spans="1:11" x14ac:dyDescent="0.45">
      <c r="A3" t="s">
        <v>1</v>
      </c>
      <c r="B3">
        <v>10</v>
      </c>
      <c r="C3">
        <v>11</v>
      </c>
      <c r="D3">
        <v>11</v>
      </c>
      <c r="E3">
        <v>80</v>
      </c>
      <c r="F3">
        <f>E3+SUM(B3:D3)/3*5</f>
        <v>133.33333333333331</v>
      </c>
      <c r="G3" s="1">
        <f>F3/$A$1</f>
        <v>1.333333333333333</v>
      </c>
      <c r="I3" t="s">
        <v>10</v>
      </c>
      <c r="J3" t="s">
        <v>8</v>
      </c>
      <c r="K3" t="s">
        <v>9</v>
      </c>
    </row>
    <row r="4" spans="1:11" x14ac:dyDescent="0.45">
      <c r="I4" t="s">
        <v>11</v>
      </c>
      <c r="J4" t="s">
        <v>8</v>
      </c>
      <c r="K4" t="s">
        <v>9</v>
      </c>
    </row>
    <row r="5" spans="1:11" x14ac:dyDescent="0.45">
      <c r="A5">
        <v>150</v>
      </c>
      <c r="B5">
        <v>1</v>
      </c>
      <c r="C5">
        <v>2</v>
      </c>
      <c r="D5">
        <v>3</v>
      </c>
      <c r="E5" t="s">
        <v>3</v>
      </c>
      <c r="F5" t="s">
        <v>2</v>
      </c>
      <c r="G5" t="s">
        <v>4</v>
      </c>
      <c r="I5" t="s">
        <v>12</v>
      </c>
      <c r="J5" t="s">
        <v>13</v>
      </c>
      <c r="K5" t="s">
        <v>14</v>
      </c>
    </row>
    <row r="6" spans="1:11" x14ac:dyDescent="0.45">
      <c r="A6" t="s">
        <v>0</v>
      </c>
      <c r="B6">
        <v>13</v>
      </c>
      <c r="C6">
        <v>13</v>
      </c>
      <c r="D6">
        <v>13</v>
      </c>
      <c r="E6">
        <v>130</v>
      </c>
      <c r="F6">
        <f>E6+(SUM(B6:D6)-3)/3*5</f>
        <v>190</v>
      </c>
      <c r="G6" s="1">
        <f>F6/$A$5</f>
        <v>1.2666666666666666</v>
      </c>
    </row>
    <row r="7" spans="1:11" x14ac:dyDescent="0.45">
      <c r="A7" t="s">
        <v>1</v>
      </c>
      <c r="B7">
        <v>14</v>
      </c>
      <c r="C7">
        <v>15</v>
      </c>
      <c r="D7">
        <v>15</v>
      </c>
      <c r="E7">
        <v>130</v>
      </c>
      <c r="F7">
        <f>E7+SUM(B7:D7)/3*5</f>
        <v>203.33333333333331</v>
      </c>
      <c r="G7" s="1">
        <f>F7/$A$5</f>
        <v>1.3555555555555554</v>
      </c>
      <c r="I7" t="s">
        <v>15</v>
      </c>
    </row>
    <row r="9" spans="1:11" x14ac:dyDescent="0.45">
      <c r="A9">
        <v>200</v>
      </c>
      <c r="B9">
        <v>1</v>
      </c>
      <c r="C9">
        <v>2</v>
      </c>
      <c r="D9">
        <v>3</v>
      </c>
      <c r="E9" t="s">
        <v>3</v>
      </c>
      <c r="F9" t="s">
        <v>2</v>
      </c>
    </row>
    <row r="10" spans="1:11" x14ac:dyDescent="0.45">
      <c r="A10" t="s">
        <v>0</v>
      </c>
      <c r="B10">
        <v>14</v>
      </c>
      <c r="C10">
        <v>14</v>
      </c>
      <c r="D10">
        <v>13</v>
      </c>
      <c r="E10">
        <v>170</v>
      </c>
      <c r="F10">
        <f>E10+(SUM(B10:D10)-3)/3*5</f>
        <v>233.33333333333331</v>
      </c>
      <c r="G10" s="1">
        <f>F10/$A$9</f>
        <v>1.1666666666666665</v>
      </c>
    </row>
    <row r="11" spans="1:11" x14ac:dyDescent="0.45">
      <c r="A11" t="s">
        <v>1</v>
      </c>
      <c r="B11">
        <v>15</v>
      </c>
      <c r="C11">
        <v>15</v>
      </c>
      <c r="D11">
        <v>15</v>
      </c>
      <c r="E11">
        <v>170</v>
      </c>
      <c r="F11">
        <f>E11+SUM(B11:D11)/3*5</f>
        <v>245</v>
      </c>
      <c r="G11" s="1">
        <f>F11/$A$9</f>
        <v>1.2250000000000001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08DA-A2CB-44C6-A8F0-868B0B99C4BA}">
  <dimension ref="A1:D21"/>
  <sheetViews>
    <sheetView tabSelected="1" workbookViewId="0">
      <selection activeCell="E15" sqref="E15"/>
    </sheetView>
  </sheetViews>
  <sheetFormatPr defaultRowHeight="14.25" x14ac:dyDescent="0.45"/>
  <sheetData>
    <row r="1" spans="1:4" x14ac:dyDescent="0.45">
      <c r="A1" t="s">
        <v>17</v>
      </c>
      <c r="B1" t="s">
        <v>16</v>
      </c>
      <c r="D1" t="s">
        <v>18</v>
      </c>
    </row>
    <row r="2" spans="1:4" x14ac:dyDescent="0.45">
      <c r="B2" t="s">
        <v>20</v>
      </c>
      <c r="C2" t="s">
        <v>21</v>
      </c>
    </row>
    <row r="3" spans="1:4" x14ac:dyDescent="0.45">
      <c r="A3">
        <v>2</v>
      </c>
      <c r="B3">
        <v>8</v>
      </c>
      <c r="D3" t="s">
        <v>19</v>
      </c>
    </row>
    <row r="4" spans="1:4" x14ac:dyDescent="0.45">
      <c r="A4">
        <v>5</v>
      </c>
      <c r="B4">
        <v>5</v>
      </c>
    </row>
    <row r="5" spans="1:4" x14ac:dyDescent="0.45">
      <c r="A5">
        <v>10</v>
      </c>
      <c r="C5">
        <v>11</v>
      </c>
    </row>
    <row r="6" spans="1:4" x14ac:dyDescent="0.45">
      <c r="A6">
        <v>20</v>
      </c>
      <c r="C6">
        <v>20</v>
      </c>
    </row>
    <row r="7" spans="1:4" x14ac:dyDescent="0.45">
      <c r="A7">
        <v>30</v>
      </c>
      <c r="C7">
        <v>30</v>
      </c>
    </row>
    <row r="8" spans="1:4" x14ac:dyDescent="0.45">
      <c r="A8">
        <v>40</v>
      </c>
      <c r="C8">
        <v>40</v>
      </c>
    </row>
    <row r="9" spans="1:4" x14ac:dyDescent="0.45">
      <c r="A9">
        <v>50</v>
      </c>
      <c r="C9">
        <v>50</v>
      </c>
    </row>
    <row r="10" spans="1:4" x14ac:dyDescent="0.45">
      <c r="A10">
        <v>60</v>
      </c>
      <c r="C10">
        <v>59</v>
      </c>
    </row>
    <row r="11" spans="1:4" x14ac:dyDescent="0.45">
      <c r="A11">
        <v>70</v>
      </c>
      <c r="C11">
        <v>69</v>
      </c>
    </row>
    <row r="12" spans="1:4" x14ac:dyDescent="0.45">
      <c r="A12">
        <v>80</v>
      </c>
      <c r="C12">
        <v>79</v>
      </c>
    </row>
    <row r="13" spans="1:4" x14ac:dyDescent="0.45">
      <c r="A13">
        <v>90</v>
      </c>
      <c r="C13">
        <v>89</v>
      </c>
    </row>
    <row r="14" spans="1:4" x14ac:dyDescent="0.45">
      <c r="A14">
        <v>100</v>
      </c>
      <c r="C14">
        <v>98</v>
      </c>
    </row>
    <row r="15" spans="1:4" x14ac:dyDescent="0.45">
      <c r="B15" t="s">
        <v>22</v>
      </c>
    </row>
    <row r="16" spans="1:4" x14ac:dyDescent="0.45">
      <c r="A16">
        <v>150</v>
      </c>
      <c r="B16">
        <v>156</v>
      </c>
    </row>
    <row r="17" spans="1:2" x14ac:dyDescent="0.45">
      <c r="A17">
        <v>200</v>
      </c>
      <c r="B17">
        <v>203</v>
      </c>
    </row>
    <row r="18" spans="1:2" x14ac:dyDescent="0.45">
      <c r="A18">
        <v>250</v>
      </c>
      <c r="B18">
        <v>253</v>
      </c>
    </row>
    <row r="19" spans="1:2" x14ac:dyDescent="0.45">
      <c r="A19">
        <v>300</v>
      </c>
      <c r="B19">
        <v>299</v>
      </c>
    </row>
    <row r="20" spans="1:2" x14ac:dyDescent="0.45">
      <c r="A20">
        <v>350</v>
      </c>
      <c r="B20">
        <v>346</v>
      </c>
    </row>
    <row r="21" spans="1:2" x14ac:dyDescent="0.45">
      <c r="A21">
        <v>400</v>
      </c>
      <c r="B21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Motors</vt:lpstr>
      <vt:lpstr>Ultrasonic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Stanton-Andersson, Torin</dc:creator>
  <cp:lastModifiedBy>Stanton-Andersson, Torin</cp:lastModifiedBy>
  <dcterms:created xsi:type="dcterms:W3CDTF">2026-01-22T12:50:52Z</dcterms:created>
  <dcterms:modified xsi:type="dcterms:W3CDTF">2026-01-29T11:41:58Z</dcterms:modified>
</cp:coreProperties>
</file>